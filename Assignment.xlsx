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0cd524e88d4cfc/Desktop/"/>
    </mc:Choice>
  </mc:AlternateContent>
  <xr:revisionPtr revIDLastSave="0" documentId="8_{1F415543-6546-4B3A-BA29-19363F6C5423}" xr6:coauthVersionLast="47" xr6:coauthVersionMax="47" xr10:uidLastSave="{00000000-0000-0000-0000-000000000000}"/>
  <bookViews>
    <workbookView xWindow="-108" yWindow="-108" windowWidth="23256" windowHeight="12456" xr2:uid="{133472ED-BC48-4243-8E3B-00318EDA89F0}"/>
  </bookViews>
  <sheets>
    <sheet name="ANSWERSHEET 1" sheetId="4" r:id="rId1"/>
    <sheet name="ANSWERSHEET 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C22" i="4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</calcChain>
</file>

<file path=xl/sharedStrings.xml><?xml version="1.0" encoding="utf-8"?>
<sst xmlns="http://schemas.openxmlformats.org/spreadsheetml/2006/main" count="177" uniqueCount="114">
  <si>
    <t>• What is the total price of all products in the dataset?</t>
  </si>
  <si>
    <t>• How many products are there in the dataset?</t>
  </si>
  <si>
    <t>• Calculate the average price of the products.</t>
  </si>
  <si>
    <t>• Determine the minimum price among all products.</t>
  </si>
  <si>
    <t>• Find the maximum price among all products.</t>
  </si>
  <si>
    <t>• Using an IF function, create a new column named Price Range to categorize products with a price greater than or equal to $500 as 'High Price' and others as 'Standard Price'.</t>
  </si>
  <si>
    <t>• Calculate the total price for products in the 'Electronics' category using the SUMIF function.</t>
  </si>
  <si>
    <t>• Determine the count of products with a price less than $100 using the COUNTIF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</si>
  <si>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</si>
  <si>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</si>
  <si>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</si>
  <si>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</si>
  <si>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</si>
  <si>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</si>
  <si>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</si>
  <si>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</si>
  <si>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</si>
  <si>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</si>
  <si>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</si>
  <si>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</si>
  <si>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</si>
  <si>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</si>
  <si>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</si>
  <si>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</si>
  <si>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</si>
  <si>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</si>
  <si>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</si>
  <si>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</si>
  <si>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</si>
  <si>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</si>
  <si>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</si>
  <si>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</si>
  <si>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</si>
  <si>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</si>
  <si>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</si>
  <si>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</si>
  <si>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</si>
  <si>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</si>
  <si>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</si>
  <si>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</si>
  <si>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</si>
  <si>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</si>
  <si>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</si>
  <si>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</si>
  <si>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</si>
  <si>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</si>
  <si>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</si>
  <si>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</si>
  <si>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</si>
  <si>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</si>
  <si>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</si>
  <si>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</si>
  <si>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</si>
  <si>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</si>
  <si>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</si>
  <si>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</si>
  <si>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</si>
  <si>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</si>
  <si>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</si>
  <si>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</si>
  <si>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</si>
  <si>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</si>
  <si>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</si>
  <si>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</si>
  <si>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</si>
  <si>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</si>
  <si>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</si>
  <si>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</si>
  <si>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</si>
  <si>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</si>
  <si>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</si>
  <si>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</si>
  <si>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</si>
  <si>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</si>
  <si>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</si>
  <si>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</si>
  <si>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</si>
  <si>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</si>
  <si>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</si>
  <si>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</si>
  <si>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</si>
  <si>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</si>
  <si>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</si>
  <si>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</si>
  <si>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</si>
  <si>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</si>
  <si>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</si>
  <si>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</si>
  <si>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</si>
  <si>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</si>
  <si>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</si>
  <si>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</si>
  <si>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</si>
  <si>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</si>
  <si>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</si>
  <si>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</si>
  <si>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</si>
  <si>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</si>
  <si>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</si>
  <si>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</si>
  <si>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</si>
  <si>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</t>
  </si>
  <si>
    <t>=</t>
  </si>
  <si>
    <t>(=SUM(D2:D35)</t>
  </si>
  <si>
    <t>(=COUNTA(D2:D35)</t>
  </si>
  <si>
    <t>(=AVERAGE(D2:D35)</t>
  </si>
  <si>
    <t>(=MIN(D2:D35)</t>
  </si>
  <si>
    <t>(=MAX(D2:D35)</t>
  </si>
  <si>
    <t>PRICE RANGE</t>
  </si>
  <si>
    <t>(=SUMIF(F2:F35,"ELECTRONICS",D2:D35)</t>
  </si>
  <si>
    <t>(=COUNTIF(D2:D35,"&lt;100")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</si>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</sst>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0"/>
      <color rgb="FFFFFFFF"/>
      <name val="Arial"/>
    </font>
    <font>
      <sz val="10"/>
      <color theme="1"/>
      <name val="Arial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0F7FA"/>
        <bgColor rgb="FFE0F7FA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3" borderId="0" xfId="0" applyFont="1" applyFill="1"/>
    <xf numFmtId="0" fontId="4" fillId="4" borderId="1" xfId="0" applyFont="1" applyFill="1" applyBorder="1" applyAlignment="1">
      <alignment horizontal="center"/>
    </xf>
    <xf numFmtId="164" fontId="5" fillId="3" borderId="0" xfId="0" applyNumberFormat="1" applyFont="1" applyFill="1"/>
    <xf numFmtId="0" fontId="5" fillId="3" borderId="0" xfId="0" applyFont="1" applyFill="1" applyAlignment="1">
      <alignment horizontal="left" indent="6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\$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\$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rgb="FFD9D9D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91F18-9855-4A6C-8165-86DEAAE425D8}" name="Table1" displayName="Table1" ref="A1:J36" totalsRowCount="1" headerRowDxfId="14" dataDxfId="15" headerRowBorderDxfId="22">
  <autoFilter ref="A1:J35" xr:uid="{8DC91F18-9855-4A6C-8165-86DEAAE425D8}"/>
  <tableColumns count="10">
    <tableColumn id="1" xr3:uid="{B2260320-A223-4D29-935C-D8104C7759B2}" name="Product ID" dataDxfId="21" totalsRowDxfId="10"/>
    <tableColumn id="2" xr3:uid="{9D92CF21-4853-42F4-9B6E-7517F73DBB0D}" name="Product Name" dataDxfId="20" totalsRowDxfId="9"/>
    <tableColumn id="3" xr3:uid="{9E87E597-6D2A-4618-8FAC-24EF9E4A0DD2}" name="Brand Name" dataDxfId="19" totalsRowDxfId="8"/>
    <tableColumn id="4" xr3:uid="{CB1FE2E3-E631-46E4-8644-CECA61DB0B93}" name="Price ($)" dataDxfId="18" totalsRowDxfId="7"/>
    <tableColumn id="5" xr3:uid="{D857BD16-41AD-424E-AA1D-45153C522F70}" name="Quantity" dataDxfId="17" totalsRowDxfId="6"/>
    <tableColumn id="6" xr3:uid="{A266DFC7-2043-43A2-A4DD-BD2E284B683B}" name="Category" dataDxfId="16" totalsRowDxfId="5"/>
    <tableColumn id="7" xr3:uid="{8F615E7A-BEC8-4DAE-8300-83C93B666954}" name="PRICE RANGE" dataDxfId="12" totalsRowDxfId="4">
      <calculatedColumnFormula>IF(Table1[[#This Row],[Price ($)]]&gt;=500,"HIGH PRICE","STANDARD PRICE")</calculatedColumnFormula>
    </tableColumn>
    <tableColumn id="10" xr3:uid="{5E3D13F8-DCA2-40B1-A87D-AA4C1A42263B}" name="DAY" dataDxfId="11" totalsRowDxfId="13">
      <calculatedColumnFormula>LEFT(Table1[[#This Row],[Product ID]],2)</calculatedColumnFormula>
    </tableColumn>
    <tableColumn id="11" xr3:uid="{873C8777-DACF-4163-8BF1-85CB665B51D1}" name="COUNTRY CODE" dataDxfId="2" totalsRowDxfId="3">
      <calculatedColumnFormula>RIGHT(Table1[[#This Row],[Product ID]],2)</calculatedColumnFormula>
    </tableColumn>
    <tableColumn id="12" xr3:uid="{AD51FA77-A206-4F2A-8B26-8EABF771CB72}" name="MONTH" dataDxfId="0" totalsRowDxfId="1">
      <calculatedColumnFormula>MID(Table1[[#This Row],[Product ID]],4,3)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C7A6-8E90-440E-A9E3-7FDDD3F4A41A}">
  <dimension ref="A1:P30"/>
  <sheetViews>
    <sheetView tabSelected="1" topLeftCell="A2" zoomScale="80" zoomScaleNormal="80" workbookViewId="0">
      <selection activeCell="D30" sqref="D30:E30"/>
    </sheetView>
  </sheetViews>
  <sheetFormatPr defaultRowHeight="14.4"/>
  <cols>
    <col min="3" max="3" width="10" bestFit="1" customWidth="1"/>
    <col min="4" max="4" width="17" bestFit="1" customWidth="1"/>
  </cols>
  <sheetData>
    <row r="1" spans="1:6" ht="15.6">
      <c r="A1" s="7" t="s">
        <v>0</v>
      </c>
      <c r="B1" s="7"/>
      <c r="C1" s="7"/>
      <c r="D1" s="7"/>
      <c r="E1" s="7"/>
      <c r="F1" s="7"/>
    </row>
    <row r="2" spans="1:6">
      <c r="A2" t="s">
        <v>101</v>
      </c>
      <c r="B2" t="s">
        <v>102</v>
      </c>
      <c r="C2" s="6">
        <v>10100</v>
      </c>
      <c r="D2" t="s">
        <v>103</v>
      </c>
    </row>
    <row r="4" spans="1:6" ht="15.6">
      <c r="A4" s="7" t="s">
        <v>1</v>
      </c>
      <c r="B4" s="7"/>
      <c r="C4" s="7"/>
      <c r="D4" s="7"/>
      <c r="E4" s="7"/>
      <c r="F4" s="7"/>
    </row>
    <row r="6" spans="1:6">
      <c r="A6" t="s">
        <v>101</v>
      </c>
      <c r="B6" t="s">
        <v>102</v>
      </c>
      <c r="C6">
        <v>34</v>
      </c>
      <c r="D6" t="s">
        <v>104</v>
      </c>
    </row>
    <row r="8" spans="1:6" ht="15.6">
      <c r="A8" s="7" t="s">
        <v>2</v>
      </c>
      <c r="B8" s="7"/>
      <c r="C8" s="7"/>
      <c r="D8" s="7"/>
      <c r="E8" s="7"/>
      <c r="F8" s="7"/>
    </row>
    <row r="10" spans="1:6">
      <c r="A10" t="s">
        <v>101</v>
      </c>
      <c r="B10" t="s">
        <v>102</v>
      </c>
      <c r="C10" s="6">
        <v>297.05882352941182</v>
      </c>
      <c r="D10" t="s">
        <v>105</v>
      </c>
    </row>
    <row r="12" spans="1:6" ht="15.6">
      <c r="A12" s="7" t="s">
        <v>3</v>
      </c>
      <c r="B12" s="7"/>
      <c r="C12" s="7"/>
      <c r="D12" s="7"/>
      <c r="E12" s="7"/>
      <c r="F12" s="7"/>
    </row>
    <row r="14" spans="1:6">
      <c r="A14" t="s">
        <v>101</v>
      </c>
      <c r="B14" t="s">
        <v>102</v>
      </c>
      <c r="C14" s="6">
        <v>30</v>
      </c>
      <c r="D14" t="s">
        <v>106</v>
      </c>
    </row>
    <row r="16" spans="1:6" ht="15.6">
      <c r="A16" s="7" t="s">
        <v>4</v>
      </c>
      <c r="B16" s="7"/>
      <c r="C16" s="7"/>
      <c r="D16" s="7"/>
      <c r="E16" s="7"/>
      <c r="F16" s="7"/>
    </row>
    <row r="18" spans="1:16">
      <c r="A18" t="s">
        <v>101</v>
      </c>
      <c r="B18" t="s">
        <v>102</v>
      </c>
      <c r="C18" s="6">
        <v>1000</v>
      </c>
      <c r="D18" t="s">
        <v>107</v>
      </c>
    </row>
    <row r="20" spans="1:16">
      <c r="A20" s="8" t="s">
        <v>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2" spans="1:16">
      <c r="A22" t="s">
        <v>101</v>
      </c>
      <c r="B22" t="s">
        <v>102</v>
      </c>
      <c r="C22" s="8" t="str">
        <f>IF(D2&gt;=500,"HIGH PRICE","STANDARD PRICE")</f>
        <v>HIGH PRICE</v>
      </c>
      <c r="D22" s="8"/>
      <c r="E22" s="8"/>
      <c r="F22" s="8"/>
    </row>
    <row r="24" spans="1:16" ht="15.6">
      <c r="A24" s="7" t="s">
        <v>6</v>
      </c>
      <c r="B24" s="7"/>
      <c r="C24" s="7"/>
      <c r="D24" s="7"/>
      <c r="E24" s="7"/>
      <c r="F24" s="7"/>
      <c r="G24" s="7"/>
      <c r="H24" s="7"/>
      <c r="I24" s="7"/>
    </row>
    <row r="26" spans="1:16">
      <c r="A26" t="s">
        <v>101</v>
      </c>
      <c r="B26" t="s">
        <v>102</v>
      </c>
      <c r="C26" s="6">
        <v>8050</v>
      </c>
      <c r="D26" s="8" t="s">
        <v>109</v>
      </c>
      <c r="E26" s="8"/>
      <c r="F26" s="8"/>
    </row>
    <row r="28" spans="1:16" ht="15.6">
      <c r="A28" s="7" t="s">
        <v>7</v>
      </c>
      <c r="B28" s="7"/>
      <c r="C28" s="7"/>
      <c r="D28" s="7"/>
      <c r="E28" s="7"/>
      <c r="F28" s="7"/>
      <c r="G28" s="7"/>
      <c r="H28" s="7"/>
      <c r="I28" s="7"/>
      <c r="J28" s="7"/>
    </row>
    <row r="30" spans="1:16">
      <c r="A30" t="s">
        <v>101</v>
      </c>
      <c r="B30" t="s">
        <v>102</v>
      </c>
      <c r="C30">
        <v>11</v>
      </c>
      <c r="D30" s="8" t="s">
        <v>110</v>
      </c>
      <c r="E30" s="8"/>
    </row>
  </sheetData>
  <mergeCells count="11">
    <mergeCell ref="D30:E30"/>
    <mergeCell ref="A16:F16"/>
    <mergeCell ref="A20:P20"/>
    <mergeCell ref="C22:F22"/>
    <mergeCell ref="A24:I24"/>
    <mergeCell ref="D26:F26"/>
    <mergeCell ref="A28:J28"/>
    <mergeCell ref="A1:F1"/>
    <mergeCell ref="A4:F4"/>
    <mergeCell ref="A8:F8"/>
    <mergeCell ref="A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138A-7FEA-4DE4-BE6D-DCF71269FB53}">
  <dimension ref="A1:J36"/>
  <sheetViews>
    <sheetView zoomScale="70" zoomScaleNormal="70" workbookViewId="0">
      <selection activeCell="J3" sqref="J3"/>
    </sheetView>
  </sheetViews>
  <sheetFormatPr defaultRowHeight="14.4"/>
  <cols>
    <col min="1" max="1" width="12.21875" customWidth="1"/>
    <col min="2" max="2" width="15.33203125" customWidth="1"/>
    <col min="3" max="3" width="13.6640625" customWidth="1"/>
    <col min="4" max="4" width="15" bestFit="1" customWidth="1"/>
    <col min="5" max="5" width="10.33203125" customWidth="1"/>
    <col min="6" max="6" width="10.88671875" customWidth="1"/>
    <col min="7" max="7" width="19.44140625" bestFit="1" customWidth="1"/>
    <col min="8" max="11" width="19.44140625" customWidth="1"/>
  </cols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9" t="s">
        <v>108</v>
      </c>
      <c r="H1" s="11" t="s">
        <v>111</v>
      </c>
      <c r="I1" s="11" t="s">
        <v>112</v>
      </c>
      <c r="J1" s="11" t="s">
        <v>113</v>
      </c>
    </row>
    <row r="2" spans="1:10">
      <c r="A2" s="2" t="s">
        <v>14</v>
      </c>
      <c r="B2" s="2" t="s">
        <v>15</v>
      </c>
      <c r="C2" s="2" t="s">
        <v>16</v>
      </c>
      <c r="D2" s="3">
        <v>1000</v>
      </c>
      <c r="E2" s="2">
        <v>30</v>
      </c>
      <c r="F2" s="2" t="s">
        <v>17</v>
      </c>
      <c r="G2" s="4" t="str">
        <f>IF(Table1[[#This Row],[Price ($)]]&gt;=500,"HIGH PRICE","STANDARD PRICE")</f>
        <v>HIGH PRICE</v>
      </c>
      <c r="H2" s="13" t="str">
        <f>LEFT(Table1[[#This Row],[Product ID]],2)</f>
        <v>28</v>
      </c>
      <c r="I2" s="13" t="str">
        <f>RIGHT(Table1[[#This Row],[Product ID]],2)</f>
        <v>US</v>
      </c>
      <c r="J2" s="13" t="str">
        <f>MID(Table1[[#This Row],[Product ID]],4,3)</f>
        <v>JAN</v>
      </c>
    </row>
    <row r="3" spans="1:10">
      <c r="A3" s="4" t="s">
        <v>18</v>
      </c>
      <c r="B3" s="4" t="s">
        <v>19</v>
      </c>
      <c r="C3" s="4" t="s">
        <v>20</v>
      </c>
      <c r="D3" s="5">
        <v>80</v>
      </c>
      <c r="E3" s="4">
        <v>15</v>
      </c>
      <c r="F3" s="4" t="s">
        <v>21</v>
      </c>
      <c r="G3" s="4" t="str">
        <f>IF(Table1[[#This Row],[Price ($)]]&gt;=500,"HIGH PRICE","STANDARD PRICE")</f>
        <v>STANDARD PRICE</v>
      </c>
      <c r="H3" s="13" t="str">
        <f>LEFT(Table1[[#This Row],[Product ID]],2)</f>
        <v>15</v>
      </c>
      <c r="I3" s="13" t="str">
        <f>RIGHT(Table1[[#This Row],[Product ID]],2)</f>
        <v>US</v>
      </c>
      <c r="J3" s="13" t="str">
        <f>MID(Table1[[#This Row],[Product ID]],4,3)</f>
        <v>FEB</v>
      </c>
    </row>
    <row r="4" spans="1:10">
      <c r="A4" s="2" t="s">
        <v>22</v>
      </c>
      <c r="B4" s="2" t="s">
        <v>23</v>
      </c>
      <c r="C4" s="2" t="s">
        <v>24</v>
      </c>
      <c r="D4" s="3">
        <v>130</v>
      </c>
      <c r="E4" s="2">
        <v>40</v>
      </c>
      <c r="F4" s="2" t="s">
        <v>25</v>
      </c>
      <c r="G4" s="4" t="str">
        <f>IF(Table1[[#This Row],[Price ($)]]&gt;=500,"HIGH PRICE","STANDARD PRICE")</f>
        <v>STANDARD PRICE</v>
      </c>
      <c r="H4" s="13" t="str">
        <f>LEFT(Table1[[#This Row],[Product ID]],2)</f>
        <v>03</v>
      </c>
      <c r="I4" s="13" t="str">
        <f>RIGHT(Table1[[#This Row],[Product ID]],2)</f>
        <v>US</v>
      </c>
      <c r="J4" s="13" t="str">
        <f>MID(Table1[[#This Row],[Product ID]],4,3)</f>
        <v>MAR</v>
      </c>
    </row>
    <row r="5" spans="1:10">
      <c r="A5" s="4" t="s">
        <v>26</v>
      </c>
      <c r="B5" s="4" t="s">
        <v>27</v>
      </c>
      <c r="C5" s="4" t="s">
        <v>28</v>
      </c>
      <c r="D5" s="5">
        <v>900</v>
      </c>
      <c r="E5" s="4">
        <v>25</v>
      </c>
      <c r="F5" s="4" t="s">
        <v>17</v>
      </c>
      <c r="G5" s="4" t="str">
        <f>IF(Table1[[#This Row],[Price ($)]]&gt;=500,"HIGH PRICE","STANDARD PRICE")</f>
        <v>HIGH PRICE</v>
      </c>
      <c r="H5" s="13" t="str">
        <f>LEFT(Table1[[#This Row],[Product ID]],2)</f>
        <v>11</v>
      </c>
      <c r="I5" s="13" t="str">
        <f>RIGHT(Table1[[#This Row],[Product ID]],2)</f>
        <v>US</v>
      </c>
      <c r="J5" s="13" t="str">
        <f>MID(Table1[[#This Row],[Product ID]],4,3)</f>
        <v>APR</v>
      </c>
    </row>
    <row r="6" spans="1:10">
      <c r="A6" s="2" t="s">
        <v>29</v>
      </c>
      <c r="B6" s="2" t="s">
        <v>30</v>
      </c>
      <c r="C6" s="2" t="s">
        <v>31</v>
      </c>
      <c r="D6" s="3">
        <v>70</v>
      </c>
      <c r="E6" s="2">
        <v>20</v>
      </c>
      <c r="F6" s="2" t="s">
        <v>32</v>
      </c>
      <c r="G6" s="4" t="str">
        <f>IF(Table1[[#This Row],[Price ($)]]&gt;=500,"HIGH PRICE","STANDARD PRICE")</f>
        <v>STANDARD PRICE</v>
      </c>
      <c r="H6" s="13" t="str">
        <f>LEFT(Table1[[#This Row],[Product ID]],2)</f>
        <v>22</v>
      </c>
      <c r="I6" s="13" t="str">
        <f>RIGHT(Table1[[#This Row],[Product ID]],2)</f>
        <v>US</v>
      </c>
      <c r="J6" s="13" t="str">
        <f>MID(Table1[[#This Row],[Product ID]],4,3)</f>
        <v>MAY</v>
      </c>
    </row>
    <row r="7" spans="1:10">
      <c r="A7" s="4" t="s">
        <v>33</v>
      </c>
      <c r="B7" s="4" t="s">
        <v>34</v>
      </c>
      <c r="C7" s="4" t="s">
        <v>35</v>
      </c>
      <c r="D7" s="5">
        <v>200</v>
      </c>
      <c r="E7" s="4">
        <v>45</v>
      </c>
      <c r="F7" s="4" t="s">
        <v>17</v>
      </c>
      <c r="G7" s="4" t="str">
        <f>IF(Table1[[#This Row],[Price ($)]]&gt;=500,"HIGH PRICE","STANDARD PRICE")</f>
        <v>STANDARD PRICE</v>
      </c>
      <c r="H7" s="13" t="str">
        <f>LEFT(Table1[[#This Row],[Product ID]],2)</f>
        <v>07</v>
      </c>
      <c r="I7" s="13" t="str">
        <f>RIGHT(Table1[[#This Row],[Product ID]],2)</f>
        <v>UK</v>
      </c>
      <c r="J7" s="13" t="str">
        <f>MID(Table1[[#This Row],[Product ID]],4,3)</f>
        <v>JUN</v>
      </c>
    </row>
    <row r="8" spans="1:10">
      <c r="A8" s="2" t="s">
        <v>36</v>
      </c>
      <c r="B8" s="2" t="s">
        <v>37</v>
      </c>
      <c r="C8" s="2" t="s">
        <v>38</v>
      </c>
      <c r="D8" s="3">
        <v>30</v>
      </c>
      <c r="E8" s="2">
        <v>5</v>
      </c>
      <c r="F8" s="2" t="s">
        <v>21</v>
      </c>
      <c r="G8" s="4" t="str">
        <f>IF(Table1[[#This Row],[Price ($)]]&gt;=500,"HIGH PRICE","STANDARD PRICE")</f>
        <v>STANDARD PRICE</v>
      </c>
      <c r="H8" s="13" t="str">
        <f>LEFT(Table1[[#This Row],[Product ID]],2)</f>
        <v>19</v>
      </c>
      <c r="I8" s="13" t="str">
        <f>RIGHT(Table1[[#This Row],[Product ID]],2)</f>
        <v>UK</v>
      </c>
      <c r="J8" s="13" t="str">
        <f>MID(Table1[[#This Row],[Product ID]],4,3)</f>
        <v>JUL</v>
      </c>
    </row>
    <row r="9" spans="1:10">
      <c r="A9" s="4" t="s">
        <v>39</v>
      </c>
      <c r="B9" s="4" t="s">
        <v>40</v>
      </c>
      <c r="C9" s="4" t="s">
        <v>41</v>
      </c>
      <c r="D9" s="5">
        <v>90</v>
      </c>
      <c r="E9" s="4">
        <v>35</v>
      </c>
      <c r="F9" s="4" t="s">
        <v>25</v>
      </c>
      <c r="G9" s="4" t="str">
        <f>IF(Table1[[#This Row],[Price ($)]]&gt;=500,"HIGH PRICE","STANDARD PRICE")</f>
        <v>STANDARD PRICE</v>
      </c>
      <c r="H9" s="13" t="str">
        <f>LEFT(Table1[[#This Row],[Product ID]],2)</f>
        <v>23</v>
      </c>
      <c r="I9" s="13" t="str">
        <f>RIGHT(Table1[[#This Row],[Product ID]],2)</f>
        <v>UK</v>
      </c>
      <c r="J9" s="13" t="str">
        <f>MID(Table1[[#This Row],[Product ID]],4,3)</f>
        <v>AUG</v>
      </c>
    </row>
    <row r="10" spans="1:10">
      <c r="A10" s="2" t="s">
        <v>42</v>
      </c>
      <c r="B10" s="2" t="s">
        <v>43</v>
      </c>
      <c r="C10" s="2" t="s">
        <v>44</v>
      </c>
      <c r="D10" s="3">
        <v>500</v>
      </c>
      <c r="E10" s="2">
        <v>50</v>
      </c>
      <c r="F10" s="2" t="s">
        <v>17</v>
      </c>
      <c r="G10" s="4" t="str">
        <f>IF(Table1[[#This Row],[Price ($)]]&gt;=500,"HIGH PRICE","STANDARD PRICE")</f>
        <v>HIGH PRICE</v>
      </c>
      <c r="H10" s="13" t="str">
        <f>LEFT(Table1[[#This Row],[Product ID]],2)</f>
        <v>05</v>
      </c>
      <c r="I10" s="13" t="str">
        <f>RIGHT(Table1[[#This Row],[Product ID]],2)</f>
        <v>UK</v>
      </c>
      <c r="J10" s="13" t="str">
        <f>MID(Table1[[#This Row],[Product ID]],4,3)</f>
        <v>SEP</v>
      </c>
    </row>
    <row r="11" spans="1:10">
      <c r="A11" s="4" t="s">
        <v>45</v>
      </c>
      <c r="B11" s="4" t="s">
        <v>46</v>
      </c>
      <c r="C11" s="4" t="s">
        <v>47</v>
      </c>
      <c r="D11" s="5">
        <v>130</v>
      </c>
      <c r="E11" s="4">
        <v>10</v>
      </c>
      <c r="F11" s="4" t="s">
        <v>32</v>
      </c>
      <c r="G11" s="4" t="str">
        <f>IF(Table1[[#This Row],[Price ($)]]&gt;=500,"HIGH PRICE","STANDARD PRICE")</f>
        <v>STANDARD PRICE</v>
      </c>
      <c r="H11" s="13" t="str">
        <f>LEFT(Table1[[#This Row],[Product ID]],2)</f>
        <v>14</v>
      </c>
      <c r="I11" s="13" t="str">
        <f>RIGHT(Table1[[#This Row],[Product ID]],2)</f>
        <v>UK</v>
      </c>
      <c r="J11" s="13" t="str">
        <f>MID(Table1[[#This Row],[Product ID]],4,3)</f>
        <v>OCT</v>
      </c>
    </row>
    <row r="12" spans="1:10">
      <c r="A12" s="2" t="s">
        <v>48</v>
      </c>
      <c r="B12" s="2" t="s">
        <v>15</v>
      </c>
      <c r="C12" s="2" t="s">
        <v>49</v>
      </c>
      <c r="D12" s="3">
        <v>950</v>
      </c>
      <c r="E12" s="2">
        <v>25</v>
      </c>
      <c r="F12" s="2" t="s">
        <v>17</v>
      </c>
      <c r="G12" s="4" t="str">
        <f>IF(Table1[[#This Row],[Price ($)]]&gt;=500,"HIGH PRICE","STANDARD PRICE")</f>
        <v>HIGH PRICE</v>
      </c>
      <c r="H12" s="13" t="str">
        <f>LEFT(Table1[[#This Row],[Product ID]],2)</f>
        <v>17</v>
      </c>
      <c r="I12" s="13" t="str">
        <f>RIGHT(Table1[[#This Row],[Product ID]],2)</f>
        <v>IN</v>
      </c>
      <c r="J12" s="13" t="str">
        <f>MID(Table1[[#This Row],[Product ID]],4,3)</f>
        <v>JUN</v>
      </c>
    </row>
    <row r="13" spans="1:10">
      <c r="A13" s="4" t="s">
        <v>50</v>
      </c>
      <c r="B13" s="4" t="s">
        <v>19</v>
      </c>
      <c r="C13" s="4" t="s">
        <v>38</v>
      </c>
      <c r="D13" s="5">
        <v>90</v>
      </c>
      <c r="E13" s="4">
        <v>40</v>
      </c>
      <c r="F13" s="4" t="s">
        <v>21</v>
      </c>
      <c r="G13" s="4" t="str">
        <f>IF(Table1[[#This Row],[Price ($)]]&gt;=500,"HIGH PRICE","STANDARD PRICE")</f>
        <v>STANDARD PRICE</v>
      </c>
      <c r="H13" s="13" t="str">
        <f>LEFT(Table1[[#This Row],[Product ID]],2)</f>
        <v>25</v>
      </c>
      <c r="I13" s="13" t="str">
        <f>RIGHT(Table1[[#This Row],[Product ID]],2)</f>
        <v>AU</v>
      </c>
      <c r="J13" s="13" t="str">
        <f>MID(Table1[[#This Row],[Product ID]],4,3)</f>
        <v>NOV</v>
      </c>
    </row>
    <row r="14" spans="1:10">
      <c r="A14" s="2" t="s">
        <v>51</v>
      </c>
      <c r="B14" s="2" t="s">
        <v>23</v>
      </c>
      <c r="C14" s="2" t="s">
        <v>52</v>
      </c>
      <c r="D14" s="3">
        <v>120</v>
      </c>
      <c r="E14" s="2">
        <v>35</v>
      </c>
      <c r="F14" s="2" t="s">
        <v>25</v>
      </c>
      <c r="G14" s="4" t="str">
        <f>IF(Table1[[#This Row],[Price ($)]]&gt;=500,"HIGH PRICE","STANDARD PRICE")</f>
        <v>STANDARD PRICE</v>
      </c>
      <c r="H14" s="13" t="str">
        <f>LEFT(Table1[[#This Row],[Product ID]],2)</f>
        <v>08</v>
      </c>
      <c r="I14" s="13" t="str">
        <f>RIGHT(Table1[[#This Row],[Product ID]],2)</f>
        <v>DE</v>
      </c>
      <c r="J14" s="13" t="str">
        <f>MID(Table1[[#This Row],[Product ID]],4,3)</f>
        <v>DEC</v>
      </c>
    </row>
    <row r="15" spans="1:10">
      <c r="A15" s="4" t="s">
        <v>53</v>
      </c>
      <c r="B15" s="4" t="s">
        <v>54</v>
      </c>
      <c r="C15" s="4" t="s">
        <v>55</v>
      </c>
      <c r="D15" s="5">
        <v>150</v>
      </c>
      <c r="E15" s="4">
        <v>15</v>
      </c>
      <c r="F15" s="4" t="s">
        <v>17</v>
      </c>
      <c r="G15" s="4" t="str">
        <f>IF(Table1[[#This Row],[Price ($)]]&gt;=500,"HIGH PRICE","STANDARD PRICE")</f>
        <v>STANDARD PRICE</v>
      </c>
      <c r="H15" s="13" t="str">
        <f>LEFT(Table1[[#This Row],[Product ID]],2)</f>
        <v>18</v>
      </c>
      <c r="I15" s="13" t="str">
        <f>RIGHT(Table1[[#This Row],[Product ID]],2)</f>
        <v>CA</v>
      </c>
      <c r="J15" s="13" t="str">
        <f>MID(Table1[[#This Row],[Product ID]],4,3)</f>
        <v>FEB</v>
      </c>
    </row>
    <row r="16" spans="1:10">
      <c r="A16" s="2" t="s">
        <v>56</v>
      </c>
      <c r="B16" s="2" t="s">
        <v>34</v>
      </c>
      <c r="C16" s="2" t="s">
        <v>57</v>
      </c>
      <c r="D16" s="3">
        <v>250</v>
      </c>
      <c r="E16" s="2">
        <v>20</v>
      </c>
      <c r="F16" s="2" t="s">
        <v>17</v>
      </c>
      <c r="G16" s="4" t="str">
        <f>IF(Table1[[#This Row],[Price ($)]]&gt;=500,"HIGH PRICE","STANDARD PRICE")</f>
        <v>STANDARD PRICE</v>
      </c>
      <c r="H16" s="13" t="str">
        <f>LEFT(Table1[[#This Row],[Product ID]],2)</f>
        <v>16</v>
      </c>
      <c r="I16" s="13" t="str">
        <f>RIGHT(Table1[[#This Row],[Product ID]],2)</f>
        <v>ES</v>
      </c>
      <c r="J16" s="13" t="str">
        <f>MID(Table1[[#This Row],[Product ID]],4,3)</f>
        <v>APR</v>
      </c>
    </row>
    <row r="17" spans="1:10">
      <c r="A17" s="4" t="s">
        <v>58</v>
      </c>
      <c r="B17" s="4" t="s">
        <v>59</v>
      </c>
      <c r="C17" s="4" t="s">
        <v>60</v>
      </c>
      <c r="D17" s="5">
        <v>50</v>
      </c>
      <c r="E17" s="4">
        <v>35</v>
      </c>
      <c r="F17" s="4" t="s">
        <v>61</v>
      </c>
      <c r="G17" s="4" t="str">
        <f>IF(Table1[[#This Row],[Price ($)]]&gt;=500,"HIGH PRICE","STANDARD PRICE")</f>
        <v>STANDARD PRICE</v>
      </c>
      <c r="H17" s="13" t="str">
        <f>LEFT(Table1[[#This Row],[Product ID]],2)</f>
        <v>21</v>
      </c>
      <c r="I17" s="13" t="str">
        <f>RIGHT(Table1[[#This Row],[Product ID]],2)</f>
        <v>CA</v>
      </c>
      <c r="J17" s="13" t="str">
        <f>MID(Table1[[#This Row],[Product ID]],4,3)</f>
        <v>AUG</v>
      </c>
    </row>
    <row r="18" spans="1:10">
      <c r="A18" s="2" t="s">
        <v>62</v>
      </c>
      <c r="B18" s="2" t="s">
        <v>54</v>
      </c>
      <c r="C18" s="2" t="s">
        <v>63</v>
      </c>
      <c r="D18" s="3">
        <v>160</v>
      </c>
      <c r="E18" s="2">
        <v>15</v>
      </c>
      <c r="F18" s="2" t="s">
        <v>17</v>
      </c>
      <c r="G18" s="4" t="str">
        <f>IF(Table1[[#This Row],[Price ($)]]&gt;=500,"HIGH PRICE","STANDARD PRICE")</f>
        <v>STANDARD PRICE</v>
      </c>
      <c r="H18" s="13" t="str">
        <f>LEFT(Table1[[#This Row],[Product ID]],2)</f>
        <v>20</v>
      </c>
      <c r="I18" s="13" t="str">
        <f>RIGHT(Table1[[#This Row],[Product ID]],2)</f>
        <v>CN</v>
      </c>
      <c r="J18" s="13" t="str">
        <f>MID(Table1[[#This Row],[Product ID]],4,3)</f>
        <v>AUG</v>
      </c>
    </row>
    <row r="19" spans="1:10">
      <c r="A19" s="4" t="s">
        <v>64</v>
      </c>
      <c r="B19" s="4" t="s">
        <v>15</v>
      </c>
      <c r="C19" s="4" t="s">
        <v>65</v>
      </c>
      <c r="D19" s="5">
        <v>980</v>
      </c>
      <c r="E19" s="4">
        <v>10</v>
      </c>
      <c r="F19" s="4" t="s">
        <v>17</v>
      </c>
      <c r="G19" s="4" t="str">
        <f>IF(Table1[[#This Row],[Price ($)]]&gt;=500,"HIGH PRICE","STANDARD PRICE")</f>
        <v>HIGH PRICE</v>
      </c>
      <c r="H19" s="13" t="str">
        <f>LEFT(Table1[[#This Row],[Product ID]],2)</f>
        <v>27</v>
      </c>
      <c r="I19" s="13" t="str">
        <f>RIGHT(Table1[[#This Row],[Product ID]],2)</f>
        <v>IT</v>
      </c>
      <c r="J19" s="13" t="str">
        <f>MID(Table1[[#This Row],[Product ID]],4,3)</f>
        <v>JAN</v>
      </c>
    </row>
    <row r="20" spans="1:10">
      <c r="A20" s="2" t="s">
        <v>66</v>
      </c>
      <c r="B20" s="2" t="s">
        <v>67</v>
      </c>
      <c r="C20" s="2" t="s">
        <v>68</v>
      </c>
      <c r="D20" s="3">
        <v>150</v>
      </c>
      <c r="E20" s="2">
        <v>15</v>
      </c>
      <c r="F20" s="2" t="s">
        <v>21</v>
      </c>
      <c r="G20" s="4" t="str">
        <f>IF(Table1[[#This Row],[Price ($)]]&gt;=500,"HIGH PRICE","STANDARD PRICE")</f>
        <v>STANDARD PRICE</v>
      </c>
      <c r="H20" s="13" t="str">
        <f>LEFT(Table1[[#This Row],[Product ID]],2)</f>
        <v>01</v>
      </c>
      <c r="I20" s="13" t="str">
        <f>RIGHT(Table1[[#This Row],[Product ID]],2)</f>
        <v>UK</v>
      </c>
      <c r="J20" s="13" t="str">
        <f>MID(Table1[[#This Row],[Product ID]],4,3)</f>
        <v>MAR</v>
      </c>
    </row>
    <row r="21" spans="1:10">
      <c r="A21" s="4" t="s">
        <v>69</v>
      </c>
      <c r="B21" s="4" t="s">
        <v>70</v>
      </c>
      <c r="C21" s="4" t="s">
        <v>71</v>
      </c>
      <c r="D21" s="5">
        <v>200</v>
      </c>
      <c r="E21" s="4">
        <v>10</v>
      </c>
      <c r="F21" s="4" t="s">
        <v>32</v>
      </c>
      <c r="G21" s="4" t="str">
        <f>IF(Table1[[#This Row],[Price ($)]]&gt;=500,"HIGH PRICE","STANDARD PRICE")</f>
        <v>STANDARD PRICE</v>
      </c>
      <c r="H21" s="13" t="str">
        <f>LEFT(Table1[[#This Row],[Product ID]],2)</f>
        <v>14</v>
      </c>
      <c r="I21" s="13" t="str">
        <f>RIGHT(Table1[[#This Row],[Product ID]],2)</f>
        <v>US</v>
      </c>
      <c r="J21" s="13" t="str">
        <f>MID(Table1[[#This Row],[Product ID]],4,3)</f>
        <v>AUG</v>
      </c>
    </row>
    <row r="22" spans="1:10">
      <c r="A22" s="2" t="s">
        <v>72</v>
      </c>
      <c r="B22" s="2" t="s">
        <v>73</v>
      </c>
      <c r="C22" s="2" t="s">
        <v>74</v>
      </c>
      <c r="D22" s="3">
        <v>700</v>
      </c>
      <c r="E22" s="2">
        <v>50</v>
      </c>
      <c r="F22" s="2" t="s">
        <v>17</v>
      </c>
      <c r="G22" s="4" t="str">
        <f>IF(Table1[[#This Row],[Price ($)]]&gt;=500,"HIGH PRICE","STANDARD PRICE")</f>
        <v>HIGH PRICE</v>
      </c>
      <c r="H22" s="13" t="str">
        <f>LEFT(Table1[[#This Row],[Product ID]],2)</f>
        <v>14</v>
      </c>
      <c r="I22" s="13" t="str">
        <f>RIGHT(Table1[[#This Row],[Product ID]],2)</f>
        <v>RU</v>
      </c>
      <c r="J22" s="13" t="str">
        <f>MID(Table1[[#This Row],[Product ID]],4,3)</f>
        <v>MAY</v>
      </c>
    </row>
    <row r="23" spans="1:10">
      <c r="A23" s="4" t="s">
        <v>75</v>
      </c>
      <c r="B23" s="4" t="s">
        <v>76</v>
      </c>
      <c r="C23" s="4" t="s">
        <v>77</v>
      </c>
      <c r="D23" s="5">
        <v>80</v>
      </c>
      <c r="E23" s="4">
        <v>20</v>
      </c>
      <c r="F23" s="4" t="s">
        <v>25</v>
      </c>
      <c r="G23" s="4" t="str">
        <f>IF(Table1[[#This Row],[Price ($)]]&gt;=500,"HIGH PRICE","STANDARD PRICE")</f>
        <v>STANDARD PRICE</v>
      </c>
      <c r="H23" s="13" t="str">
        <f>LEFT(Table1[[#This Row],[Product ID]],2)</f>
        <v>09</v>
      </c>
      <c r="I23" s="13" t="str">
        <f>RIGHT(Table1[[#This Row],[Product ID]],2)</f>
        <v>CA</v>
      </c>
      <c r="J23" s="13" t="str">
        <f>MID(Table1[[#This Row],[Product ID]],4,3)</f>
        <v>JAN</v>
      </c>
    </row>
    <row r="24" spans="1:10">
      <c r="A24" s="2" t="s">
        <v>78</v>
      </c>
      <c r="B24" s="2" t="s">
        <v>79</v>
      </c>
      <c r="C24" s="2" t="s">
        <v>80</v>
      </c>
      <c r="D24" s="3">
        <v>150</v>
      </c>
      <c r="E24" s="2">
        <v>30</v>
      </c>
      <c r="F24" s="2" t="s">
        <v>17</v>
      </c>
      <c r="G24" s="4" t="str">
        <f>IF(Table1[[#This Row],[Price ($)]]&gt;=500,"HIGH PRICE","STANDARD PRICE")</f>
        <v>STANDARD PRICE</v>
      </c>
      <c r="H24" s="13" t="str">
        <f>LEFT(Table1[[#This Row],[Product ID]],2)</f>
        <v>19</v>
      </c>
      <c r="I24" s="13" t="str">
        <f>RIGHT(Table1[[#This Row],[Product ID]],2)</f>
        <v>BR</v>
      </c>
      <c r="J24" s="13" t="str">
        <f>MID(Table1[[#This Row],[Product ID]],4,3)</f>
        <v>JUL</v>
      </c>
    </row>
    <row r="25" spans="1:10">
      <c r="A25" s="4" t="s">
        <v>58</v>
      </c>
      <c r="B25" s="4" t="s">
        <v>59</v>
      </c>
      <c r="C25" s="4" t="s">
        <v>60</v>
      </c>
      <c r="D25" s="5">
        <v>50</v>
      </c>
      <c r="E25" s="4">
        <v>35</v>
      </c>
      <c r="F25" s="4" t="s">
        <v>61</v>
      </c>
      <c r="G25" s="4" t="str">
        <f>IF(Table1[[#This Row],[Price ($)]]&gt;=500,"HIGH PRICE","STANDARD PRICE")</f>
        <v>STANDARD PRICE</v>
      </c>
      <c r="H25" s="13" t="str">
        <f>LEFT(Table1[[#This Row],[Product ID]],2)</f>
        <v>21</v>
      </c>
      <c r="I25" s="13" t="str">
        <f>RIGHT(Table1[[#This Row],[Product ID]],2)</f>
        <v>CA</v>
      </c>
      <c r="J25" s="13" t="str">
        <f>MID(Table1[[#This Row],[Product ID]],4,3)</f>
        <v>AUG</v>
      </c>
    </row>
    <row r="26" spans="1:10">
      <c r="A26" s="2" t="s">
        <v>81</v>
      </c>
      <c r="B26" s="2" t="s">
        <v>27</v>
      </c>
      <c r="C26" s="2" t="s">
        <v>82</v>
      </c>
      <c r="D26" s="3">
        <v>800</v>
      </c>
      <c r="E26" s="2">
        <v>45</v>
      </c>
      <c r="F26" s="2" t="s">
        <v>17</v>
      </c>
      <c r="G26" s="4" t="str">
        <f>IF(Table1[[#This Row],[Price ($)]]&gt;=500,"HIGH PRICE","STANDARD PRICE")</f>
        <v>HIGH PRICE</v>
      </c>
      <c r="H26" s="13" t="str">
        <f>LEFT(Table1[[#This Row],[Product ID]],2)</f>
        <v>29</v>
      </c>
      <c r="I26" s="13" t="str">
        <f>RIGHT(Table1[[#This Row],[Product ID]],2)</f>
        <v>CA</v>
      </c>
      <c r="J26" s="13" t="str">
        <f>MID(Table1[[#This Row],[Product ID]],4,3)</f>
        <v>SEP</v>
      </c>
    </row>
    <row r="27" spans="1:10">
      <c r="A27" s="4" t="s">
        <v>83</v>
      </c>
      <c r="B27" s="4" t="s">
        <v>67</v>
      </c>
      <c r="C27" s="4" t="s">
        <v>84</v>
      </c>
      <c r="D27" s="5">
        <v>130</v>
      </c>
      <c r="E27" s="4">
        <v>25</v>
      </c>
      <c r="F27" s="4" t="s">
        <v>21</v>
      </c>
      <c r="G27" s="4" t="str">
        <f>IF(Table1[[#This Row],[Price ($)]]&gt;=500,"HIGH PRICE","STANDARD PRICE")</f>
        <v>STANDARD PRICE</v>
      </c>
      <c r="H27" s="13" t="str">
        <f>LEFT(Table1[[#This Row],[Product ID]],2)</f>
        <v>03</v>
      </c>
      <c r="I27" s="13" t="str">
        <f>RIGHT(Table1[[#This Row],[Product ID]],2)</f>
        <v>CA</v>
      </c>
      <c r="J27" s="13" t="str">
        <f>MID(Table1[[#This Row],[Product ID]],4,3)</f>
        <v>JUN</v>
      </c>
    </row>
    <row r="28" spans="1:10">
      <c r="A28" s="2" t="s">
        <v>85</v>
      </c>
      <c r="B28" s="2" t="s">
        <v>40</v>
      </c>
      <c r="C28" s="2" t="s">
        <v>86</v>
      </c>
      <c r="D28" s="3">
        <v>400</v>
      </c>
      <c r="E28" s="2">
        <v>40</v>
      </c>
      <c r="F28" s="2" t="s">
        <v>25</v>
      </c>
      <c r="G28" s="4" t="str">
        <f>IF(Table1[[#This Row],[Price ($)]]&gt;=500,"HIGH PRICE","STANDARD PRICE")</f>
        <v>STANDARD PRICE</v>
      </c>
      <c r="H28" s="13" t="str">
        <f>LEFT(Table1[[#This Row],[Product ID]],2)</f>
        <v>11</v>
      </c>
      <c r="I28" s="13" t="str">
        <f>RIGHT(Table1[[#This Row],[Product ID]],2)</f>
        <v>CA</v>
      </c>
      <c r="J28" s="13" t="str">
        <f>MID(Table1[[#This Row],[Product ID]],4,3)</f>
        <v>JUL</v>
      </c>
    </row>
    <row r="29" spans="1:10">
      <c r="A29" s="4" t="s">
        <v>56</v>
      </c>
      <c r="B29" s="4" t="s">
        <v>34</v>
      </c>
      <c r="C29" s="4" t="s">
        <v>57</v>
      </c>
      <c r="D29" s="5">
        <v>230</v>
      </c>
      <c r="E29" s="4">
        <v>20</v>
      </c>
      <c r="F29" s="4" t="s">
        <v>17</v>
      </c>
      <c r="G29" s="4" t="str">
        <f>IF(Table1[[#This Row],[Price ($)]]&gt;=500,"HIGH PRICE","STANDARD PRICE")</f>
        <v>STANDARD PRICE</v>
      </c>
      <c r="H29" s="13" t="str">
        <f>LEFT(Table1[[#This Row],[Product ID]],2)</f>
        <v>16</v>
      </c>
      <c r="I29" s="13" t="str">
        <f>RIGHT(Table1[[#This Row],[Product ID]],2)</f>
        <v>ES</v>
      </c>
      <c r="J29" s="13" t="str">
        <f>MID(Table1[[#This Row],[Product ID]],4,3)</f>
        <v>APR</v>
      </c>
    </row>
    <row r="30" spans="1:10">
      <c r="A30" s="2" t="s">
        <v>87</v>
      </c>
      <c r="B30" s="2" t="s">
        <v>88</v>
      </c>
      <c r="C30" s="2" t="s">
        <v>89</v>
      </c>
      <c r="D30" s="3">
        <v>60</v>
      </c>
      <c r="E30" s="2">
        <v>30</v>
      </c>
      <c r="F30" s="2" t="s">
        <v>21</v>
      </c>
      <c r="G30" s="4" t="str">
        <f>IF(Table1[[#This Row],[Price ($)]]&gt;=500,"HIGH PRICE","STANDARD PRICE")</f>
        <v>STANDARD PRICE</v>
      </c>
      <c r="H30" s="13" t="str">
        <f>LEFT(Table1[[#This Row],[Product ID]],2)</f>
        <v>07</v>
      </c>
      <c r="I30" s="13" t="str">
        <f>RIGHT(Table1[[#This Row],[Product ID]],2)</f>
        <v>CA</v>
      </c>
      <c r="J30" s="13" t="str">
        <f>MID(Table1[[#This Row],[Product ID]],4,3)</f>
        <v>MAR</v>
      </c>
    </row>
    <row r="31" spans="1:10">
      <c r="A31" s="4" t="s">
        <v>90</v>
      </c>
      <c r="B31" s="4" t="s">
        <v>91</v>
      </c>
      <c r="C31" s="4" t="s">
        <v>92</v>
      </c>
      <c r="D31" s="5">
        <v>40</v>
      </c>
      <c r="E31" s="4">
        <v>10</v>
      </c>
      <c r="F31" s="4" t="s">
        <v>25</v>
      </c>
      <c r="G31" s="4" t="str">
        <f>IF(Table1[[#This Row],[Price ($)]]&gt;=500,"HIGH PRICE","STANDARD PRICE")</f>
        <v>STANDARD PRICE</v>
      </c>
      <c r="H31" s="13" t="str">
        <f>LEFT(Table1[[#This Row],[Product ID]],2)</f>
        <v>13</v>
      </c>
      <c r="I31" s="13" t="str">
        <f>RIGHT(Table1[[#This Row],[Product ID]],2)</f>
        <v>CA</v>
      </c>
      <c r="J31" s="13" t="str">
        <f>MID(Table1[[#This Row],[Product ID]],4,3)</f>
        <v>APR</v>
      </c>
    </row>
    <row r="32" spans="1:10">
      <c r="A32" s="2" t="s">
        <v>93</v>
      </c>
      <c r="B32" s="2" t="s">
        <v>79</v>
      </c>
      <c r="C32" s="2" t="s">
        <v>94</v>
      </c>
      <c r="D32" s="3">
        <v>130</v>
      </c>
      <c r="E32" s="2">
        <v>5</v>
      </c>
      <c r="F32" s="2" t="s">
        <v>17</v>
      </c>
      <c r="G32" s="4" t="str">
        <f>IF(Table1[[#This Row],[Price ($)]]&gt;=500,"HIGH PRICE","STANDARD PRICE")</f>
        <v>STANDARD PRICE</v>
      </c>
      <c r="H32" s="13" t="str">
        <f>LEFT(Table1[[#This Row],[Product ID]],2)</f>
        <v>24</v>
      </c>
      <c r="I32" s="13" t="str">
        <f>RIGHT(Table1[[#This Row],[Product ID]],2)</f>
        <v>CA</v>
      </c>
      <c r="J32" s="13" t="str">
        <f>MID(Table1[[#This Row],[Product ID]],4,3)</f>
        <v>MAY</v>
      </c>
    </row>
    <row r="33" spans="1:10">
      <c r="A33" s="4" t="s">
        <v>95</v>
      </c>
      <c r="B33" s="4" t="s">
        <v>96</v>
      </c>
      <c r="C33" s="4" t="s">
        <v>97</v>
      </c>
      <c r="D33" s="5">
        <v>50</v>
      </c>
      <c r="E33" s="4">
        <v>50</v>
      </c>
      <c r="F33" s="4" t="s">
        <v>21</v>
      </c>
      <c r="G33" s="4" t="str">
        <f>IF(Table1[[#This Row],[Price ($)]]&gt;=500,"HIGH PRICE","STANDARD PRICE")</f>
        <v>STANDARD PRICE</v>
      </c>
      <c r="H33" s="13" t="str">
        <f>LEFT(Table1[[#This Row],[Product ID]],2)</f>
        <v>02</v>
      </c>
      <c r="I33" s="13" t="str">
        <f>RIGHT(Table1[[#This Row],[Product ID]],2)</f>
        <v>CA</v>
      </c>
      <c r="J33" s="13" t="str">
        <f>MID(Table1[[#This Row],[Product ID]],4,3)</f>
        <v>DEC</v>
      </c>
    </row>
    <row r="34" spans="1:10">
      <c r="A34" s="2" t="s">
        <v>48</v>
      </c>
      <c r="B34" s="2" t="s">
        <v>15</v>
      </c>
      <c r="C34" s="2" t="s">
        <v>49</v>
      </c>
      <c r="D34" s="3">
        <v>950</v>
      </c>
      <c r="E34" s="2">
        <v>25</v>
      </c>
      <c r="F34" s="2" t="s">
        <v>17</v>
      </c>
      <c r="G34" s="4" t="str">
        <f>IF(Table1[[#This Row],[Price ($)]]&gt;=500,"HIGH PRICE","STANDARD PRICE")</f>
        <v>HIGH PRICE</v>
      </c>
      <c r="H34" s="13" t="str">
        <f>LEFT(Table1[[#This Row],[Product ID]],2)</f>
        <v>17</v>
      </c>
      <c r="I34" s="13" t="str">
        <f>RIGHT(Table1[[#This Row],[Product ID]],2)</f>
        <v>IN</v>
      </c>
      <c r="J34" s="13" t="str">
        <f>MID(Table1[[#This Row],[Product ID]],4,3)</f>
        <v>JUN</v>
      </c>
    </row>
    <row r="35" spans="1:10">
      <c r="A35" s="4" t="s">
        <v>98</v>
      </c>
      <c r="B35" s="4" t="s">
        <v>99</v>
      </c>
      <c r="C35" s="4" t="s">
        <v>100</v>
      </c>
      <c r="D35" s="5">
        <v>100</v>
      </c>
      <c r="E35" s="4">
        <v>20</v>
      </c>
      <c r="F35" s="4" t="s">
        <v>61</v>
      </c>
      <c r="G35" s="4" t="str">
        <f>IF(Table1[[#This Row],[Price ($)]]&gt;=500,"HIGH PRICE","STANDARD PRICE")</f>
        <v>STANDARD PRICE</v>
      </c>
      <c r="H35" s="13" t="str">
        <f>LEFT(Table1[[#This Row],[Product ID]],2)</f>
        <v>09</v>
      </c>
      <c r="I35" s="13" t="str">
        <f>RIGHT(Table1[[#This Row],[Product ID]],2)</f>
        <v>FR</v>
      </c>
      <c r="J35" s="13" t="str">
        <f>MID(Table1[[#This Row],[Product ID]],4,3)</f>
        <v>JUL</v>
      </c>
    </row>
    <row r="36" spans="1:10">
      <c r="A36" s="10"/>
      <c r="B36" s="10"/>
      <c r="C36" s="10"/>
      <c r="D36" s="12"/>
      <c r="E36" s="10"/>
      <c r="F36" s="10"/>
      <c r="G36" s="10"/>
      <c r="H36" s="10"/>
      <c r="I36" s="10"/>
      <c r="J36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ANSWERSHEET 1</vt:lpstr>
      <vt:lpstr>ANSWERSHEET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anzilthameem14@gmail.com</dc:creator>
  <cp:lastModifiedBy>anzilthameem14@gmail.com</cp:lastModifiedBy>
  <dcterms:created xsi:type="dcterms:W3CDTF">2026-09-24T05:04:04Z</dcterms:created>
  <dcterms:modified xsi:type="dcterms:W3CDTF">2026-09-24T14:28:16Z</dcterms:modified>
</cp:coreProperties>
</file>